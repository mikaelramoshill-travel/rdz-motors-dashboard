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Monthly" sheetId="2" state="visible" r:id="rId2"/>
    <sheet name="Yea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name val="Calibri"/>
      <family val="2"/>
      <color theme="1"/>
      <sz val="11"/>
      <scheme val="minor"/>
    </font>
    <font>
      <b val="1"/>
      <color rgb="006D28D9"/>
      <sz val="16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E1065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5E1F0"/>
      </left>
      <right style="thin">
        <color rgb="00E5E1F0"/>
      </right>
      <top style="thin">
        <color rgb="00E5E1F0"/>
      </top>
      <bottom style="thin">
        <color rgb="00E5E1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Production (Today) — Produced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'Daily'!B3</f>
            </strRef>
          </tx>
          <spPr>
            <a:ln>
              <a:prstDash val="solid"/>
            </a:ln>
          </spPr>
          <cat>
            <numRef>
              <f>'Daily'!$A$4:$A$15</f>
            </numRef>
          </cat>
          <val>
            <numRef>
              <f>'Daily'!$B$4:$B$15</f>
            </numRef>
          </val>
        </ser>
        <ser>
          <idx val="1"/>
          <order val="1"/>
          <tx>
            <strRef>
              <f>'Daily'!C3</f>
            </strRef>
          </tx>
          <spPr>
            <a:ln>
              <a:prstDash val="solid"/>
            </a:ln>
          </spPr>
          <cat>
            <numRef>
              <f>'Daily'!$A$4:$A$15</f>
            </numRef>
          </cat>
          <val>
            <numRef>
              <f>'Daily'!$C$4:$C$15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Production (30 Days) — Produced vs Target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'Monthly'!$A$4:$A$33</f>
            </numRef>
          </cat>
          <val>
            <numRef>
              <f>'Monthly'!$B$4:$B$33</f>
            </numRef>
          </val>
        </ser>
        <ser>
          <idx val="1"/>
          <order val="1"/>
          <tx>
            <strRef>
              <f>'Monthly'!C3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'Monthly'!$A$4:$A$33</f>
            </numRef>
          </cat>
          <val>
            <numRef>
              <f>'Monthly'!$C$4:$C$33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Yearly Production (12 Months) — Produced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'Yearly'!B3</f>
            </strRef>
          </tx>
          <spPr>
            <a:ln>
              <a:prstDash val="solid"/>
            </a:ln>
          </spPr>
          <cat>
            <numRef>
              <f>'Yearly'!$A$4:$A$15</f>
            </numRef>
          </cat>
          <val>
            <numRef>
              <f>'Yearly'!$B$4:$B$15</f>
            </numRef>
          </val>
        </ser>
        <ser>
          <idx val="1"/>
          <order val="1"/>
          <tx>
            <strRef>
              <f>'Yearly'!C3</f>
            </strRef>
          </tx>
          <spPr>
            <a:ln>
              <a:prstDash val="solid"/>
            </a:ln>
          </spPr>
          <cat>
            <numRef>
              <f>'Yearly'!$A$4:$A$15</f>
            </numRef>
          </cat>
          <val>
            <numRef>
              <f>'Yearly'!$C$4:$C$15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6" customHeight="1">
      <c r="A1" s="1" t="inlineStr">
        <is>
          <t>RDZ MOTORS  —  Daily Production (Today)</t>
        </is>
      </c>
    </row>
    <row r="3">
      <c r="A3" s="2" t="inlineStr">
        <is>
          <t>Period</t>
        </is>
      </c>
      <c r="B3" s="2" t="inlineStr">
        <is>
          <t>Produced</t>
        </is>
      </c>
      <c r="C3" s="2" t="inlineStr">
        <is>
          <t>Target</t>
        </is>
      </c>
      <c r="D3" s="2" t="inlineStr">
        <is>
          <t>Defects</t>
        </is>
      </c>
      <c r="E3" s="2" t="inlineStr">
        <is>
          <t>Downtime (min)</t>
        </is>
      </c>
      <c r="F3" s="2" t="inlineStr">
        <is>
          <t>Efficiency %</t>
        </is>
      </c>
      <c r="G3" s="2" t="inlineStr">
        <is>
          <t>Sedan</t>
        </is>
      </c>
      <c r="H3" s="2" t="inlineStr">
        <is>
          <t>SUV</t>
        </is>
      </c>
      <c r="I3" s="2" t="inlineStr">
        <is>
          <t>Electric</t>
        </is>
      </c>
      <c r="J3" s="2" t="inlineStr">
        <is>
          <t>Truck</t>
        </is>
      </c>
    </row>
    <row r="4">
      <c r="A4" s="3" t="inlineStr">
        <is>
          <t>06:00</t>
        </is>
      </c>
      <c r="B4" s="3" t="n">
        <v>41</v>
      </c>
      <c r="C4" s="3" t="n">
        <v>45</v>
      </c>
      <c r="D4" s="3" t="n">
        <v>1</v>
      </c>
      <c r="E4" s="3" t="n">
        <v>12</v>
      </c>
      <c r="F4" s="4" t="n">
        <v>91.09999999999999</v>
      </c>
      <c r="G4" s="3" t="n">
        <v>15</v>
      </c>
      <c r="H4" s="3" t="n">
        <v>12</v>
      </c>
      <c r="I4" s="3" t="n">
        <v>9</v>
      </c>
      <c r="J4" s="3" t="n">
        <v>5</v>
      </c>
    </row>
    <row r="5">
      <c r="A5" s="3" t="inlineStr">
        <is>
          <t>07:00</t>
        </is>
      </c>
      <c r="B5" s="3" t="n">
        <v>47</v>
      </c>
      <c r="C5" s="3" t="n">
        <v>45</v>
      </c>
      <c r="D5" s="3" t="n">
        <v>1</v>
      </c>
      <c r="E5" s="3" t="n">
        <v>0</v>
      </c>
      <c r="F5" s="5" t="n">
        <v>104.4</v>
      </c>
      <c r="G5" s="3" t="n">
        <v>17</v>
      </c>
      <c r="H5" s="3" t="n">
        <v>14</v>
      </c>
      <c r="I5" s="3" t="n">
        <v>10</v>
      </c>
      <c r="J5" s="3" t="n">
        <v>6</v>
      </c>
    </row>
    <row r="6">
      <c r="A6" s="3" t="inlineStr">
        <is>
          <t>08:00</t>
        </is>
      </c>
      <c r="B6" s="3" t="n">
        <v>40</v>
      </c>
      <c r="C6" s="3" t="n">
        <v>45</v>
      </c>
      <c r="D6" s="3" t="n">
        <v>1</v>
      </c>
      <c r="E6" s="3" t="n">
        <v>12</v>
      </c>
      <c r="F6" s="6" t="n">
        <v>88.90000000000001</v>
      </c>
      <c r="G6" s="3" t="n">
        <v>15</v>
      </c>
      <c r="H6" s="3" t="n">
        <v>12</v>
      </c>
      <c r="I6" s="3" t="n">
        <v>8</v>
      </c>
      <c r="J6" s="3" t="n">
        <v>5</v>
      </c>
    </row>
    <row r="7">
      <c r="A7" s="3" t="inlineStr">
        <is>
          <t>09:00</t>
        </is>
      </c>
      <c r="B7" s="3" t="n">
        <v>37</v>
      </c>
      <c r="C7" s="3" t="n">
        <v>45</v>
      </c>
      <c r="D7" s="3" t="n">
        <v>1</v>
      </c>
      <c r="E7" s="3" t="n">
        <v>8</v>
      </c>
      <c r="F7" s="6" t="n">
        <v>82.2</v>
      </c>
      <c r="G7" s="3" t="n">
        <v>13</v>
      </c>
      <c r="H7" s="3" t="n">
        <v>11</v>
      </c>
      <c r="I7" s="3" t="n">
        <v>8</v>
      </c>
      <c r="J7" s="3" t="n">
        <v>5</v>
      </c>
    </row>
    <row r="8">
      <c r="A8" s="3" t="inlineStr">
        <is>
          <t>10:00</t>
        </is>
      </c>
      <c r="B8" s="3" t="n">
        <v>45</v>
      </c>
      <c r="C8" s="3" t="n">
        <v>45</v>
      </c>
      <c r="D8" s="3" t="n">
        <v>1</v>
      </c>
      <c r="E8" s="3" t="n">
        <v>0</v>
      </c>
      <c r="F8" s="5" t="n">
        <v>100</v>
      </c>
      <c r="G8" s="3" t="n">
        <v>17</v>
      </c>
      <c r="H8" s="3" t="n">
        <v>13</v>
      </c>
      <c r="I8" s="3" t="n">
        <v>9</v>
      </c>
      <c r="J8" s="3" t="n">
        <v>6</v>
      </c>
    </row>
    <row r="9">
      <c r="A9" s="3" t="inlineStr">
        <is>
          <t>11:00</t>
        </is>
      </c>
      <c r="B9" s="3" t="n">
        <v>48</v>
      </c>
      <c r="C9" s="3" t="n">
        <v>45</v>
      </c>
      <c r="D9" s="3" t="n">
        <v>1</v>
      </c>
      <c r="E9" s="3" t="n">
        <v>8</v>
      </c>
      <c r="F9" s="5" t="n">
        <v>106.7</v>
      </c>
      <c r="G9" s="3" t="n">
        <v>18</v>
      </c>
      <c r="H9" s="3" t="n">
        <v>14</v>
      </c>
      <c r="I9" s="3" t="n">
        <v>10</v>
      </c>
      <c r="J9" s="3" t="n">
        <v>6</v>
      </c>
    </row>
    <row r="10">
      <c r="A10" s="3" t="inlineStr">
        <is>
          <t>12:00</t>
        </is>
      </c>
      <c r="B10" s="3" t="n">
        <v>51</v>
      </c>
      <c r="C10" s="3" t="n">
        <v>45</v>
      </c>
      <c r="D10" s="3" t="n">
        <v>2</v>
      </c>
      <c r="E10" s="3" t="n">
        <v>12</v>
      </c>
      <c r="F10" s="5" t="n">
        <v>113.3</v>
      </c>
      <c r="G10" s="3" t="n">
        <v>18</v>
      </c>
      <c r="H10" s="3" t="n">
        <v>15</v>
      </c>
      <c r="I10" s="3" t="n">
        <v>11</v>
      </c>
      <c r="J10" s="3" t="n">
        <v>7</v>
      </c>
    </row>
    <row r="11">
      <c r="A11" s="3" t="inlineStr">
        <is>
          <t>13:00</t>
        </is>
      </c>
      <c r="B11" s="3" t="n">
        <v>41</v>
      </c>
      <c r="C11" s="3" t="n">
        <v>45</v>
      </c>
      <c r="D11" s="3" t="n">
        <v>2</v>
      </c>
      <c r="E11" s="3" t="n">
        <v>5</v>
      </c>
      <c r="F11" s="4" t="n">
        <v>91.09999999999999</v>
      </c>
      <c r="G11" s="3" t="n">
        <v>15</v>
      </c>
      <c r="H11" s="3" t="n">
        <v>12</v>
      </c>
      <c r="I11" s="3" t="n">
        <v>9</v>
      </c>
      <c r="J11" s="3" t="n">
        <v>5</v>
      </c>
    </row>
    <row r="12">
      <c r="A12" s="3" t="inlineStr">
        <is>
          <t>14:00</t>
        </is>
      </c>
      <c r="B12" s="3" t="n">
        <v>48</v>
      </c>
      <c r="C12" s="3" t="n">
        <v>45</v>
      </c>
      <c r="D12" s="3" t="n">
        <v>1</v>
      </c>
      <c r="E12" s="3" t="n">
        <v>0</v>
      </c>
      <c r="F12" s="5" t="n">
        <v>106.7</v>
      </c>
      <c r="G12" s="3" t="n">
        <v>18</v>
      </c>
      <c r="H12" s="3" t="n">
        <v>14</v>
      </c>
      <c r="I12" s="3" t="n">
        <v>10</v>
      </c>
      <c r="J12" s="3" t="n">
        <v>6</v>
      </c>
    </row>
    <row r="13">
      <c r="A13" s="3" t="inlineStr">
        <is>
          <t>15:00</t>
        </is>
      </c>
      <c r="B13" s="3" t="n">
        <v>39</v>
      </c>
      <c r="C13" s="3" t="n">
        <v>45</v>
      </c>
      <c r="D13" s="3" t="n">
        <v>2</v>
      </c>
      <c r="E13" s="3" t="n">
        <v>0</v>
      </c>
      <c r="F13" s="6" t="n">
        <v>86.7</v>
      </c>
      <c r="G13" s="3" t="n">
        <v>15</v>
      </c>
      <c r="H13" s="3" t="n">
        <v>11</v>
      </c>
      <c r="I13" s="3" t="n">
        <v>8</v>
      </c>
      <c r="J13" s="3" t="n">
        <v>5</v>
      </c>
    </row>
    <row r="14">
      <c r="A14" s="3" t="inlineStr">
        <is>
          <t>16:00</t>
        </is>
      </c>
      <c r="B14" s="3" t="n">
        <v>40</v>
      </c>
      <c r="C14" s="3" t="n">
        <v>45</v>
      </c>
      <c r="D14" s="3" t="n">
        <v>1</v>
      </c>
      <c r="E14" s="3" t="n">
        <v>0</v>
      </c>
      <c r="F14" s="6" t="n">
        <v>88.90000000000001</v>
      </c>
      <c r="G14" s="3" t="n">
        <v>15</v>
      </c>
      <c r="H14" s="3" t="n">
        <v>12</v>
      </c>
      <c r="I14" s="3" t="n">
        <v>8</v>
      </c>
      <c r="J14" s="3" t="n">
        <v>5</v>
      </c>
    </row>
    <row r="15">
      <c r="A15" s="3" t="inlineStr">
        <is>
          <t>17:00</t>
        </is>
      </c>
      <c r="B15" s="3" t="n">
        <v>49</v>
      </c>
      <c r="C15" s="3" t="n">
        <v>45</v>
      </c>
      <c r="D15" s="3" t="n">
        <v>1</v>
      </c>
      <c r="E15" s="3" t="n">
        <v>0</v>
      </c>
      <c r="F15" s="5" t="n">
        <v>108.9</v>
      </c>
      <c r="G15" s="3" t="n">
        <v>19</v>
      </c>
      <c r="H15" s="3" t="n">
        <v>14</v>
      </c>
      <c r="I15" s="3" t="n">
        <v>10</v>
      </c>
      <c r="J15" s="3" t="n">
        <v>6</v>
      </c>
    </row>
    <row r="16">
      <c r="A16" s="7" t="inlineStr">
        <is>
          <t>TOTAL</t>
        </is>
      </c>
      <c r="B16" s="8">
        <f>SUM(B4:B15)</f>
        <v/>
      </c>
      <c r="C16" s="8">
        <f>SUM(C4:C15)</f>
        <v/>
      </c>
      <c r="D16" s="8">
        <f>SUM(D4:D15)</f>
        <v/>
      </c>
      <c r="E16" s="8">
        <f>SUM(E4:E15)</f>
        <v/>
      </c>
      <c r="F16" s="9">
        <f>AVERAGE(F4:F15)</f>
        <v/>
      </c>
      <c r="G16" s="8">
        <f>SUM(G4:G15)</f>
        <v/>
      </c>
      <c r="H16" s="8">
        <f>SUM(H4:H15)</f>
        <v/>
      </c>
      <c r="I16" s="8">
        <f>SUM(I4:I15)</f>
        <v/>
      </c>
      <c r="J16" s="8">
        <f>SUM(J4:J15)</f>
        <v/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6" customHeight="1">
      <c r="A1" s="1" t="inlineStr">
        <is>
          <t>RDZ MOTORS  —  Monthly Production (30 Days)</t>
        </is>
      </c>
    </row>
    <row r="3">
      <c r="A3" s="2" t="inlineStr">
        <is>
          <t>Period</t>
        </is>
      </c>
      <c r="B3" s="2" t="inlineStr">
        <is>
          <t>Produced</t>
        </is>
      </c>
      <c r="C3" s="2" t="inlineStr">
        <is>
          <t>Target</t>
        </is>
      </c>
      <c r="D3" s="2" t="inlineStr">
        <is>
          <t>Defects</t>
        </is>
      </c>
      <c r="E3" s="2" t="inlineStr">
        <is>
          <t>Downtime (min)</t>
        </is>
      </c>
      <c r="F3" s="2" t="inlineStr">
        <is>
          <t>Efficiency %</t>
        </is>
      </c>
      <c r="G3" s="2" t="inlineStr">
        <is>
          <t>Sedan</t>
        </is>
      </c>
      <c r="H3" s="2" t="inlineStr">
        <is>
          <t>SUV</t>
        </is>
      </c>
      <c r="I3" s="2" t="inlineStr">
        <is>
          <t>Electric</t>
        </is>
      </c>
      <c r="J3" s="2" t="inlineStr">
        <is>
          <t>Truck</t>
        </is>
      </c>
    </row>
    <row r="4">
      <c r="A4" s="3" t="inlineStr">
        <is>
          <t>Jun 11</t>
        </is>
      </c>
      <c r="B4" s="3" t="n">
        <v>407</v>
      </c>
      <c r="C4" s="3" t="n">
        <v>380</v>
      </c>
      <c r="D4" s="3" t="n">
        <v>7</v>
      </c>
      <c r="E4" s="3" t="n">
        <v>6</v>
      </c>
      <c r="F4" s="5" t="n">
        <v>107.1</v>
      </c>
      <c r="G4" s="3" t="n">
        <v>140</v>
      </c>
      <c r="H4" s="3" t="n">
        <v>122</v>
      </c>
      <c r="I4" s="3" t="n">
        <v>89</v>
      </c>
      <c r="J4" s="3" t="n">
        <v>56</v>
      </c>
    </row>
    <row r="5">
      <c r="A5" s="3" t="inlineStr">
        <is>
          <t>Jun 12</t>
        </is>
      </c>
      <c r="B5" s="3" t="n">
        <v>375</v>
      </c>
      <c r="C5" s="3" t="n">
        <v>380</v>
      </c>
      <c r="D5" s="3" t="n">
        <v>15</v>
      </c>
      <c r="E5" s="3" t="n">
        <v>38</v>
      </c>
      <c r="F5" s="4" t="n">
        <v>98.7</v>
      </c>
      <c r="G5" s="3" t="n">
        <v>129</v>
      </c>
      <c r="H5" s="3" t="n">
        <v>112</v>
      </c>
      <c r="I5" s="3" t="n">
        <v>82</v>
      </c>
      <c r="J5" s="3" t="n">
        <v>52</v>
      </c>
    </row>
    <row r="6">
      <c r="A6" s="3" t="inlineStr">
        <is>
          <t>Jun 13</t>
        </is>
      </c>
      <c r="B6" s="3" t="n">
        <v>187</v>
      </c>
      <c r="C6" s="3" t="n">
        <v>180</v>
      </c>
      <c r="D6" s="3" t="n">
        <v>7</v>
      </c>
      <c r="E6" s="3" t="n">
        <v>29</v>
      </c>
      <c r="F6" s="5" t="n">
        <v>103.9</v>
      </c>
      <c r="G6" s="3" t="n">
        <v>64</v>
      </c>
      <c r="H6" s="3" t="n">
        <v>56</v>
      </c>
      <c r="I6" s="3" t="n">
        <v>41</v>
      </c>
      <c r="J6" s="3" t="n">
        <v>26</v>
      </c>
    </row>
    <row r="7">
      <c r="A7" s="3" t="inlineStr">
        <is>
          <t>Jun 14</t>
        </is>
      </c>
      <c r="B7" s="3" t="n">
        <v>152</v>
      </c>
      <c r="C7" s="3" t="n">
        <v>180</v>
      </c>
      <c r="D7" s="3" t="n">
        <v>3</v>
      </c>
      <c r="E7" s="3" t="n">
        <v>24</v>
      </c>
      <c r="F7" s="6" t="n">
        <v>84.40000000000001</v>
      </c>
      <c r="G7" s="3" t="n">
        <v>53</v>
      </c>
      <c r="H7" s="3" t="n">
        <v>45</v>
      </c>
      <c r="I7" s="3" t="n">
        <v>33</v>
      </c>
      <c r="J7" s="3" t="n">
        <v>21</v>
      </c>
    </row>
    <row r="8">
      <c r="A8" s="3" t="inlineStr">
        <is>
          <t>Jun 15</t>
        </is>
      </c>
      <c r="B8" s="3" t="n">
        <v>410</v>
      </c>
      <c r="C8" s="3" t="n">
        <v>380</v>
      </c>
      <c r="D8" s="3" t="n">
        <v>13</v>
      </c>
      <c r="E8" s="3" t="n">
        <v>40</v>
      </c>
      <c r="F8" s="5" t="n">
        <v>107.9</v>
      </c>
      <c r="G8" s="3" t="n">
        <v>140</v>
      </c>
      <c r="H8" s="3" t="n">
        <v>123</v>
      </c>
      <c r="I8" s="3" t="n">
        <v>90</v>
      </c>
      <c r="J8" s="3" t="n">
        <v>57</v>
      </c>
    </row>
    <row r="9">
      <c r="A9" s="3" t="inlineStr">
        <is>
          <t>Jun 16</t>
        </is>
      </c>
      <c r="B9" s="3" t="n">
        <v>341</v>
      </c>
      <c r="C9" s="3" t="n">
        <v>380</v>
      </c>
      <c r="D9" s="3" t="n">
        <v>14</v>
      </c>
      <c r="E9" s="3" t="n">
        <v>23</v>
      </c>
      <c r="F9" s="6" t="n">
        <v>89.7</v>
      </c>
      <c r="G9" s="3" t="n">
        <v>117</v>
      </c>
      <c r="H9" s="3" t="n">
        <v>102</v>
      </c>
      <c r="I9" s="3" t="n">
        <v>75</v>
      </c>
      <c r="J9" s="3" t="n">
        <v>47</v>
      </c>
    </row>
    <row r="10">
      <c r="A10" s="3" t="inlineStr">
        <is>
          <t>Jun 17</t>
        </is>
      </c>
      <c r="B10" s="3" t="n">
        <v>347</v>
      </c>
      <c r="C10" s="3" t="n">
        <v>380</v>
      </c>
      <c r="D10" s="3" t="n">
        <v>7</v>
      </c>
      <c r="E10" s="3" t="n">
        <v>4</v>
      </c>
      <c r="F10" s="4" t="n">
        <v>91.3</v>
      </c>
      <c r="G10" s="3" t="n">
        <v>119</v>
      </c>
      <c r="H10" s="3" t="n">
        <v>104</v>
      </c>
      <c r="I10" s="3" t="n">
        <v>76</v>
      </c>
      <c r="J10" s="3" t="n">
        <v>48</v>
      </c>
    </row>
    <row r="11">
      <c r="A11" s="3" t="inlineStr">
        <is>
          <t>Jun 18</t>
        </is>
      </c>
      <c r="B11" s="3" t="n">
        <v>415</v>
      </c>
      <c r="C11" s="3" t="n">
        <v>380</v>
      </c>
      <c r="D11" s="3" t="n">
        <v>14</v>
      </c>
      <c r="E11" s="3" t="n">
        <v>18</v>
      </c>
      <c r="F11" s="5" t="n">
        <v>109.2</v>
      </c>
      <c r="G11" s="3" t="n">
        <v>142</v>
      </c>
      <c r="H11" s="3" t="n">
        <v>124</v>
      </c>
      <c r="I11" s="3" t="n">
        <v>91</v>
      </c>
      <c r="J11" s="3" t="n">
        <v>58</v>
      </c>
    </row>
    <row r="12">
      <c r="A12" s="3" t="inlineStr">
        <is>
          <t>Jun 19</t>
        </is>
      </c>
      <c r="B12" s="3" t="n">
        <v>410</v>
      </c>
      <c r="C12" s="3" t="n">
        <v>380</v>
      </c>
      <c r="D12" s="3" t="n">
        <v>17</v>
      </c>
      <c r="E12" s="3" t="n">
        <v>6</v>
      </c>
      <c r="F12" s="5" t="n">
        <v>107.9</v>
      </c>
      <c r="G12" s="3" t="n">
        <v>140</v>
      </c>
      <c r="H12" s="3" t="n">
        <v>123</v>
      </c>
      <c r="I12" s="3" t="n">
        <v>90</v>
      </c>
      <c r="J12" s="3" t="n">
        <v>57</v>
      </c>
    </row>
    <row r="13">
      <c r="A13" s="3" t="inlineStr">
        <is>
          <t>Jun 20</t>
        </is>
      </c>
      <c r="B13" s="3" t="n">
        <v>172</v>
      </c>
      <c r="C13" s="3" t="n">
        <v>180</v>
      </c>
      <c r="D13" s="3" t="n">
        <v>4</v>
      </c>
      <c r="E13" s="3" t="n">
        <v>40</v>
      </c>
      <c r="F13" s="4" t="n">
        <v>95.59999999999999</v>
      </c>
      <c r="G13" s="3" t="n">
        <v>60</v>
      </c>
      <c r="H13" s="3" t="n">
        <v>51</v>
      </c>
      <c r="I13" s="3" t="n">
        <v>37</v>
      </c>
      <c r="J13" s="3" t="n">
        <v>24</v>
      </c>
    </row>
    <row r="14">
      <c r="A14" s="3" t="inlineStr">
        <is>
          <t>Jun 21</t>
        </is>
      </c>
      <c r="B14" s="3" t="n">
        <v>174</v>
      </c>
      <c r="C14" s="3" t="n">
        <v>180</v>
      </c>
      <c r="D14" s="3" t="n">
        <v>3</v>
      </c>
      <c r="E14" s="3" t="n">
        <v>22</v>
      </c>
      <c r="F14" s="4" t="n">
        <v>96.7</v>
      </c>
      <c r="G14" s="3" t="n">
        <v>60</v>
      </c>
      <c r="H14" s="3" t="n">
        <v>52</v>
      </c>
      <c r="I14" s="3" t="n">
        <v>38</v>
      </c>
      <c r="J14" s="3" t="n">
        <v>24</v>
      </c>
    </row>
    <row r="15">
      <c r="A15" s="3" t="inlineStr">
        <is>
          <t>Jun 22</t>
        </is>
      </c>
      <c r="B15" s="3" t="n">
        <v>394</v>
      </c>
      <c r="C15" s="3" t="n">
        <v>380</v>
      </c>
      <c r="D15" s="3" t="n">
        <v>14</v>
      </c>
      <c r="E15" s="3" t="n">
        <v>44</v>
      </c>
      <c r="F15" s="5" t="n">
        <v>103.7</v>
      </c>
      <c r="G15" s="3" t="n">
        <v>135</v>
      </c>
      <c r="H15" s="3" t="n">
        <v>118</v>
      </c>
      <c r="I15" s="3" t="n">
        <v>86</v>
      </c>
      <c r="J15" s="3" t="n">
        <v>55</v>
      </c>
    </row>
    <row r="16">
      <c r="A16" s="3" t="inlineStr">
        <is>
          <t>Jun 23</t>
        </is>
      </c>
      <c r="B16" s="3" t="n">
        <v>333</v>
      </c>
      <c r="C16" s="3" t="n">
        <v>380</v>
      </c>
      <c r="D16" s="3" t="n">
        <v>11</v>
      </c>
      <c r="E16" s="3" t="n">
        <v>38</v>
      </c>
      <c r="F16" s="6" t="n">
        <v>87.59999999999999</v>
      </c>
      <c r="G16" s="3" t="n">
        <v>115</v>
      </c>
      <c r="H16" s="3" t="n">
        <v>99</v>
      </c>
      <c r="I16" s="3" t="n">
        <v>73</v>
      </c>
      <c r="J16" s="3" t="n">
        <v>46</v>
      </c>
    </row>
    <row r="17">
      <c r="A17" s="3" t="inlineStr">
        <is>
          <t>Jun 24</t>
        </is>
      </c>
      <c r="B17" s="3" t="n">
        <v>339</v>
      </c>
      <c r="C17" s="3" t="n">
        <v>380</v>
      </c>
      <c r="D17" s="3" t="n">
        <v>7</v>
      </c>
      <c r="E17" s="3" t="n">
        <v>15</v>
      </c>
      <c r="F17" s="6" t="n">
        <v>89.2</v>
      </c>
      <c r="G17" s="3" t="n">
        <v>117</v>
      </c>
      <c r="H17" s="3" t="n">
        <v>101</v>
      </c>
      <c r="I17" s="3" t="n">
        <v>74</v>
      </c>
      <c r="J17" s="3" t="n">
        <v>47</v>
      </c>
    </row>
    <row r="18">
      <c r="A18" s="3" t="inlineStr">
        <is>
          <t>Jun 25</t>
        </is>
      </c>
      <c r="B18" s="3" t="n">
        <v>400</v>
      </c>
      <c r="C18" s="3" t="n">
        <v>380</v>
      </c>
      <c r="D18" s="3" t="n">
        <v>12</v>
      </c>
      <c r="E18" s="3" t="n">
        <v>17</v>
      </c>
      <c r="F18" s="5" t="n">
        <v>105.3</v>
      </c>
      <c r="G18" s="3" t="n">
        <v>136</v>
      </c>
      <c r="H18" s="3" t="n">
        <v>120</v>
      </c>
      <c r="I18" s="3" t="n">
        <v>88</v>
      </c>
      <c r="J18" s="3" t="n">
        <v>56</v>
      </c>
    </row>
    <row r="19">
      <c r="A19" s="3" t="inlineStr">
        <is>
          <t>Jun 26</t>
        </is>
      </c>
      <c r="B19" s="3" t="n">
        <v>339</v>
      </c>
      <c r="C19" s="3" t="n">
        <v>380</v>
      </c>
      <c r="D19" s="3" t="n">
        <v>12</v>
      </c>
      <c r="E19" s="3" t="n">
        <v>14</v>
      </c>
      <c r="F19" s="6" t="n">
        <v>89.2</v>
      </c>
      <c r="G19" s="3" t="n">
        <v>117</v>
      </c>
      <c r="H19" s="3" t="n">
        <v>101</v>
      </c>
      <c r="I19" s="3" t="n">
        <v>74</v>
      </c>
      <c r="J19" s="3" t="n">
        <v>47</v>
      </c>
    </row>
    <row r="20">
      <c r="A20" s="3" t="inlineStr">
        <is>
          <t>Jun 27</t>
        </is>
      </c>
      <c r="B20" s="3" t="n">
        <v>133</v>
      </c>
      <c r="C20" s="3" t="n">
        <v>180</v>
      </c>
      <c r="D20" s="3" t="n">
        <v>3</v>
      </c>
      <c r="E20" s="3" t="n">
        <v>3</v>
      </c>
      <c r="F20" s="6" t="n">
        <v>73.90000000000001</v>
      </c>
      <c r="G20" s="3" t="n">
        <v>47</v>
      </c>
      <c r="H20" s="3" t="n">
        <v>39</v>
      </c>
      <c r="I20" s="3" t="n">
        <v>29</v>
      </c>
      <c r="J20" s="3" t="n">
        <v>18</v>
      </c>
    </row>
    <row r="21">
      <c r="A21" s="3" t="inlineStr">
        <is>
          <t>Jun 28</t>
        </is>
      </c>
      <c r="B21" s="3" t="n">
        <v>191</v>
      </c>
      <c r="C21" s="3" t="n">
        <v>180</v>
      </c>
      <c r="D21" s="3" t="n">
        <v>8</v>
      </c>
      <c r="E21" s="3" t="n">
        <v>20</v>
      </c>
      <c r="F21" s="5" t="n">
        <v>106.1</v>
      </c>
      <c r="G21" s="3" t="n">
        <v>66</v>
      </c>
      <c r="H21" s="3" t="n">
        <v>57</v>
      </c>
      <c r="I21" s="3" t="n">
        <v>42</v>
      </c>
      <c r="J21" s="3" t="n">
        <v>26</v>
      </c>
    </row>
    <row r="22">
      <c r="A22" s="3" t="inlineStr">
        <is>
          <t>Jun 29</t>
        </is>
      </c>
      <c r="B22" s="3" t="n">
        <v>369</v>
      </c>
      <c r="C22" s="3" t="n">
        <v>380</v>
      </c>
      <c r="D22" s="3" t="n">
        <v>8</v>
      </c>
      <c r="E22" s="3" t="n">
        <v>13</v>
      </c>
      <c r="F22" s="4" t="n">
        <v>97.09999999999999</v>
      </c>
      <c r="G22" s="3" t="n">
        <v>127</v>
      </c>
      <c r="H22" s="3" t="n">
        <v>110</v>
      </c>
      <c r="I22" s="3" t="n">
        <v>81</v>
      </c>
      <c r="J22" s="3" t="n">
        <v>51</v>
      </c>
    </row>
    <row r="23">
      <c r="A23" s="3" t="inlineStr">
        <is>
          <t>Jun 30</t>
        </is>
      </c>
      <c r="B23" s="3" t="n">
        <v>348</v>
      </c>
      <c r="C23" s="3" t="n">
        <v>380</v>
      </c>
      <c r="D23" s="3" t="n">
        <v>14</v>
      </c>
      <c r="E23" s="3" t="n">
        <v>20</v>
      </c>
      <c r="F23" s="4" t="n">
        <v>91.59999999999999</v>
      </c>
      <c r="G23" s="3" t="n">
        <v>120</v>
      </c>
      <c r="H23" s="3" t="n">
        <v>104</v>
      </c>
      <c r="I23" s="3" t="n">
        <v>76</v>
      </c>
      <c r="J23" s="3" t="n">
        <v>48</v>
      </c>
    </row>
    <row r="24">
      <c r="A24" s="3" t="inlineStr">
        <is>
          <t>Jul 01</t>
        </is>
      </c>
      <c r="B24" s="3" t="n">
        <v>393</v>
      </c>
      <c r="C24" s="3" t="n">
        <v>380</v>
      </c>
      <c r="D24" s="3" t="n">
        <v>14</v>
      </c>
      <c r="E24" s="3" t="n">
        <v>25</v>
      </c>
      <c r="F24" s="5" t="n">
        <v>103.4</v>
      </c>
      <c r="G24" s="3" t="n">
        <v>135</v>
      </c>
      <c r="H24" s="3" t="n">
        <v>117</v>
      </c>
      <c r="I24" s="3" t="n">
        <v>86</v>
      </c>
      <c r="J24" s="3" t="n">
        <v>55</v>
      </c>
    </row>
    <row r="25">
      <c r="A25" s="3" t="inlineStr">
        <is>
          <t>Jul 02</t>
        </is>
      </c>
      <c r="B25" s="3" t="n">
        <v>338</v>
      </c>
      <c r="C25" s="3" t="n">
        <v>380</v>
      </c>
      <c r="D25" s="3" t="n">
        <v>10</v>
      </c>
      <c r="E25" s="3" t="n">
        <v>16</v>
      </c>
      <c r="F25" s="6" t="n">
        <v>88.90000000000001</v>
      </c>
      <c r="G25" s="3" t="n">
        <v>116</v>
      </c>
      <c r="H25" s="3" t="n">
        <v>101</v>
      </c>
      <c r="I25" s="3" t="n">
        <v>74</v>
      </c>
      <c r="J25" s="3" t="n">
        <v>47</v>
      </c>
    </row>
    <row r="26">
      <c r="A26" s="3" t="inlineStr">
        <is>
          <t>Jul 03</t>
        </is>
      </c>
      <c r="B26" s="3" t="n">
        <v>403</v>
      </c>
      <c r="C26" s="3" t="n">
        <v>380</v>
      </c>
      <c r="D26" s="3" t="n">
        <v>9</v>
      </c>
      <c r="E26" s="3" t="n">
        <v>35</v>
      </c>
      <c r="F26" s="5" t="n">
        <v>106.1</v>
      </c>
      <c r="G26" s="3" t="n">
        <v>139</v>
      </c>
      <c r="H26" s="3" t="n">
        <v>120</v>
      </c>
      <c r="I26" s="3" t="n">
        <v>88</v>
      </c>
      <c r="J26" s="3" t="n">
        <v>56</v>
      </c>
    </row>
    <row r="27">
      <c r="A27" s="3" t="inlineStr">
        <is>
          <t>Jul 04</t>
        </is>
      </c>
      <c r="B27" s="3" t="n">
        <v>152</v>
      </c>
      <c r="C27" s="3" t="n">
        <v>180</v>
      </c>
      <c r="D27" s="3" t="n">
        <v>3</v>
      </c>
      <c r="E27" s="3" t="n">
        <v>37</v>
      </c>
      <c r="F27" s="6" t="n">
        <v>84.40000000000001</v>
      </c>
      <c r="G27" s="3" t="n">
        <v>53</v>
      </c>
      <c r="H27" s="3" t="n">
        <v>45</v>
      </c>
      <c r="I27" s="3" t="n">
        <v>33</v>
      </c>
      <c r="J27" s="3" t="n">
        <v>21</v>
      </c>
    </row>
    <row r="28">
      <c r="A28" s="3" t="inlineStr">
        <is>
          <t>Jul 05</t>
        </is>
      </c>
      <c r="B28" s="3" t="n">
        <v>166</v>
      </c>
      <c r="C28" s="3" t="n">
        <v>180</v>
      </c>
      <c r="D28" s="3" t="n">
        <v>7</v>
      </c>
      <c r="E28" s="3" t="n">
        <v>25</v>
      </c>
      <c r="F28" s="4" t="n">
        <v>92.2</v>
      </c>
      <c r="G28" s="3" t="n">
        <v>58</v>
      </c>
      <c r="H28" s="3" t="n">
        <v>49</v>
      </c>
      <c r="I28" s="3" t="n">
        <v>36</v>
      </c>
      <c r="J28" s="3" t="n">
        <v>23</v>
      </c>
    </row>
    <row r="29">
      <c r="A29" s="3" t="inlineStr">
        <is>
          <t>Jul 06</t>
        </is>
      </c>
      <c r="B29" s="3" t="n">
        <v>374</v>
      </c>
      <c r="C29" s="3" t="n">
        <v>380</v>
      </c>
      <c r="D29" s="3" t="n">
        <v>8</v>
      </c>
      <c r="E29" s="3" t="n">
        <v>8</v>
      </c>
      <c r="F29" s="4" t="n">
        <v>98.40000000000001</v>
      </c>
      <c r="G29" s="3" t="n">
        <v>128</v>
      </c>
      <c r="H29" s="3" t="n">
        <v>112</v>
      </c>
      <c r="I29" s="3" t="n">
        <v>82</v>
      </c>
      <c r="J29" s="3" t="n">
        <v>52</v>
      </c>
    </row>
    <row r="30">
      <c r="A30" s="3" t="inlineStr">
        <is>
          <t>Jul 07</t>
        </is>
      </c>
      <c r="B30" s="3" t="n">
        <v>355</v>
      </c>
      <c r="C30" s="3" t="n">
        <v>380</v>
      </c>
      <c r="D30" s="3" t="n">
        <v>11</v>
      </c>
      <c r="E30" s="3" t="n">
        <v>3</v>
      </c>
      <c r="F30" s="4" t="n">
        <v>93.40000000000001</v>
      </c>
      <c r="G30" s="3" t="n">
        <v>122</v>
      </c>
      <c r="H30" s="3" t="n">
        <v>106</v>
      </c>
      <c r="I30" s="3" t="n">
        <v>78</v>
      </c>
      <c r="J30" s="3" t="n">
        <v>49</v>
      </c>
    </row>
    <row r="31">
      <c r="A31" s="3" t="inlineStr">
        <is>
          <t>Jul 08</t>
        </is>
      </c>
      <c r="B31" s="3" t="n">
        <v>406</v>
      </c>
      <c r="C31" s="3" t="n">
        <v>380</v>
      </c>
      <c r="D31" s="3" t="n">
        <v>8</v>
      </c>
      <c r="E31" s="3" t="n">
        <v>10</v>
      </c>
      <c r="F31" s="5" t="n">
        <v>106.8</v>
      </c>
      <c r="G31" s="3" t="n">
        <v>140</v>
      </c>
      <c r="H31" s="3" t="n">
        <v>121</v>
      </c>
      <c r="I31" s="3" t="n">
        <v>89</v>
      </c>
      <c r="J31" s="3" t="n">
        <v>56</v>
      </c>
    </row>
    <row r="32">
      <c r="A32" s="3" t="inlineStr">
        <is>
          <t>Jul 09</t>
        </is>
      </c>
      <c r="B32" s="3" t="n">
        <v>333</v>
      </c>
      <c r="C32" s="3" t="n">
        <v>380</v>
      </c>
      <c r="D32" s="3" t="n">
        <v>9</v>
      </c>
      <c r="E32" s="3" t="n">
        <v>4</v>
      </c>
      <c r="F32" s="6" t="n">
        <v>87.59999999999999</v>
      </c>
      <c r="G32" s="3" t="n">
        <v>115</v>
      </c>
      <c r="H32" s="3" t="n">
        <v>99</v>
      </c>
      <c r="I32" s="3" t="n">
        <v>73</v>
      </c>
      <c r="J32" s="3" t="n">
        <v>46</v>
      </c>
    </row>
    <row r="33">
      <c r="A33" s="3" t="inlineStr">
        <is>
          <t>Jul 10</t>
        </is>
      </c>
      <c r="B33" s="3" t="n">
        <v>371</v>
      </c>
      <c r="C33" s="3" t="n">
        <v>380</v>
      </c>
      <c r="D33" s="3" t="n">
        <v>10</v>
      </c>
      <c r="E33" s="3" t="n">
        <v>29</v>
      </c>
      <c r="F33" s="4" t="n">
        <v>97.59999999999999</v>
      </c>
      <c r="G33" s="3" t="n">
        <v>128</v>
      </c>
      <c r="H33" s="3" t="n">
        <v>111</v>
      </c>
      <c r="I33" s="3" t="n">
        <v>81</v>
      </c>
      <c r="J33" s="3" t="n">
        <v>51</v>
      </c>
    </row>
    <row r="34">
      <c r="A34" s="7" t="inlineStr">
        <is>
          <t>TOTAL</t>
        </is>
      </c>
      <c r="B34" s="8">
        <f>SUM(B4:B33)</f>
        <v/>
      </c>
      <c r="C34" s="8">
        <f>SUM(C4:C33)</f>
        <v/>
      </c>
      <c r="D34" s="8">
        <f>SUM(D4:D33)</f>
        <v/>
      </c>
      <c r="E34" s="8">
        <f>SUM(E4:E33)</f>
        <v/>
      </c>
      <c r="F34" s="9">
        <f>AVERAGE(F4:F33)</f>
        <v/>
      </c>
      <c r="G34" s="8">
        <f>SUM(G4:G33)</f>
        <v/>
      </c>
      <c r="H34" s="8">
        <f>SUM(H4:H33)</f>
        <v/>
      </c>
      <c r="I34" s="8">
        <f>SUM(I4:I33)</f>
        <v/>
      </c>
      <c r="J34" s="8">
        <f>SUM(J4:J33)</f>
        <v/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6" customHeight="1">
      <c r="A1" s="1" t="inlineStr">
        <is>
          <t>RDZ MOTORS  —  Yearly Production (12 Months)</t>
        </is>
      </c>
    </row>
    <row r="3">
      <c r="A3" s="2" t="inlineStr">
        <is>
          <t>Period</t>
        </is>
      </c>
      <c r="B3" s="2" t="inlineStr">
        <is>
          <t>Produced</t>
        </is>
      </c>
      <c r="C3" s="2" t="inlineStr">
        <is>
          <t>Target</t>
        </is>
      </c>
      <c r="D3" s="2" t="inlineStr">
        <is>
          <t>Defects</t>
        </is>
      </c>
      <c r="E3" s="2" t="inlineStr">
        <is>
          <t>Downtime (min)</t>
        </is>
      </c>
      <c r="F3" s="2" t="inlineStr">
        <is>
          <t>Efficiency %</t>
        </is>
      </c>
      <c r="G3" s="2" t="inlineStr">
        <is>
          <t>Sedan</t>
        </is>
      </c>
      <c r="H3" s="2" t="inlineStr">
        <is>
          <t>SUV</t>
        </is>
      </c>
      <c r="I3" s="2" t="inlineStr">
        <is>
          <t>Electric</t>
        </is>
      </c>
      <c r="J3" s="2" t="inlineStr">
        <is>
          <t>Truck</t>
        </is>
      </c>
    </row>
    <row r="4">
      <c r="A4" s="3" t="inlineStr">
        <is>
          <t>Aug 2025</t>
        </is>
      </c>
      <c r="B4" s="3" t="n">
        <v>8233</v>
      </c>
      <c r="C4" s="3" t="n">
        <v>9200</v>
      </c>
      <c r="D4" s="3" t="n">
        <v>206</v>
      </c>
      <c r="E4" s="3" t="n">
        <v>403</v>
      </c>
      <c r="F4" s="6" t="n">
        <v>89.5</v>
      </c>
      <c r="G4" s="3" t="n">
        <v>2801</v>
      </c>
      <c r="H4" s="3" t="n">
        <v>2469</v>
      </c>
      <c r="I4" s="3" t="n">
        <v>1811</v>
      </c>
      <c r="J4" s="3" t="n">
        <v>1152</v>
      </c>
    </row>
    <row r="5">
      <c r="A5" s="3" t="inlineStr">
        <is>
          <t>Sep 2025</t>
        </is>
      </c>
      <c r="B5" s="3" t="n">
        <v>10353</v>
      </c>
      <c r="C5" s="3" t="n">
        <v>9200</v>
      </c>
      <c r="D5" s="3" t="n">
        <v>348</v>
      </c>
      <c r="E5" s="3" t="n">
        <v>178</v>
      </c>
      <c r="F5" s="5" t="n">
        <v>112.5</v>
      </c>
      <c r="G5" s="3" t="n">
        <v>3522</v>
      </c>
      <c r="H5" s="3" t="n">
        <v>3105</v>
      </c>
      <c r="I5" s="3" t="n">
        <v>2277</v>
      </c>
      <c r="J5" s="3" t="n">
        <v>1449</v>
      </c>
    </row>
    <row r="6">
      <c r="A6" s="3" t="inlineStr">
        <is>
          <t>Oct 2025</t>
        </is>
      </c>
      <c r="B6" s="3" t="n">
        <v>8201</v>
      </c>
      <c r="C6" s="3" t="n">
        <v>9200</v>
      </c>
      <c r="D6" s="3" t="n">
        <v>287</v>
      </c>
      <c r="E6" s="3" t="n">
        <v>513</v>
      </c>
      <c r="F6" s="6" t="n">
        <v>89.09999999999999</v>
      </c>
      <c r="G6" s="3" t="n">
        <v>2789</v>
      </c>
      <c r="H6" s="3" t="n">
        <v>2460</v>
      </c>
      <c r="I6" s="3" t="n">
        <v>1804</v>
      </c>
      <c r="J6" s="3" t="n">
        <v>1148</v>
      </c>
    </row>
    <row r="7">
      <c r="A7" s="3" t="inlineStr">
        <is>
          <t>Nov 2025</t>
        </is>
      </c>
      <c r="B7" s="3" t="n">
        <v>9007</v>
      </c>
      <c r="C7" s="3" t="n">
        <v>9200</v>
      </c>
      <c r="D7" s="3" t="n">
        <v>200</v>
      </c>
      <c r="E7" s="3" t="n">
        <v>342</v>
      </c>
      <c r="F7" s="4" t="n">
        <v>97.90000000000001</v>
      </c>
      <c r="G7" s="3" t="n">
        <v>3064</v>
      </c>
      <c r="H7" s="3" t="n">
        <v>2702</v>
      </c>
      <c r="I7" s="3" t="n">
        <v>1981</v>
      </c>
      <c r="J7" s="3" t="n">
        <v>1260</v>
      </c>
    </row>
    <row r="8">
      <c r="A8" s="3" t="inlineStr">
        <is>
          <t>Dec 2025</t>
        </is>
      </c>
      <c r="B8" s="3" t="n">
        <v>9753</v>
      </c>
      <c r="C8" s="3" t="n">
        <v>9200</v>
      </c>
      <c r="D8" s="3" t="n">
        <v>284</v>
      </c>
      <c r="E8" s="3" t="n">
        <v>489</v>
      </c>
      <c r="F8" s="5" t="n">
        <v>106</v>
      </c>
      <c r="G8" s="3" t="n">
        <v>3318</v>
      </c>
      <c r="H8" s="3" t="n">
        <v>2925</v>
      </c>
      <c r="I8" s="3" t="n">
        <v>2145</v>
      </c>
      <c r="J8" s="3" t="n">
        <v>1365</v>
      </c>
    </row>
    <row r="9">
      <c r="A9" s="3" t="inlineStr">
        <is>
          <t>Jan 2026</t>
        </is>
      </c>
      <c r="B9" s="3" t="n">
        <v>9322</v>
      </c>
      <c r="C9" s="3" t="n">
        <v>9200</v>
      </c>
      <c r="D9" s="3" t="n">
        <v>368</v>
      </c>
      <c r="E9" s="3" t="n">
        <v>510</v>
      </c>
      <c r="F9" s="5" t="n">
        <v>101.3</v>
      </c>
      <c r="G9" s="3" t="n">
        <v>3171</v>
      </c>
      <c r="H9" s="3" t="n">
        <v>2796</v>
      </c>
      <c r="I9" s="3" t="n">
        <v>2050</v>
      </c>
      <c r="J9" s="3" t="n">
        <v>1305</v>
      </c>
    </row>
    <row r="10">
      <c r="A10" s="3" t="inlineStr">
        <is>
          <t>Feb 2026</t>
        </is>
      </c>
      <c r="B10" s="3" t="n">
        <v>9669</v>
      </c>
      <c r="C10" s="3" t="n">
        <v>9200</v>
      </c>
      <c r="D10" s="3" t="n">
        <v>292</v>
      </c>
      <c r="E10" s="3" t="n">
        <v>174</v>
      </c>
      <c r="F10" s="5" t="n">
        <v>105.1</v>
      </c>
      <c r="G10" s="3" t="n">
        <v>3289</v>
      </c>
      <c r="H10" s="3" t="n">
        <v>2900</v>
      </c>
      <c r="I10" s="3" t="n">
        <v>2127</v>
      </c>
      <c r="J10" s="3" t="n">
        <v>1353</v>
      </c>
    </row>
    <row r="11">
      <c r="A11" s="3" t="inlineStr">
        <is>
          <t>Mar 2026</t>
        </is>
      </c>
      <c r="B11" s="3" t="n">
        <v>7839</v>
      </c>
      <c r="C11" s="3" t="n">
        <v>9200</v>
      </c>
      <c r="D11" s="3" t="n">
        <v>204</v>
      </c>
      <c r="E11" s="3" t="n">
        <v>447</v>
      </c>
      <c r="F11" s="6" t="n">
        <v>85.2</v>
      </c>
      <c r="G11" s="3" t="n">
        <v>2667</v>
      </c>
      <c r="H11" s="3" t="n">
        <v>2351</v>
      </c>
      <c r="I11" s="3" t="n">
        <v>1724</v>
      </c>
      <c r="J11" s="3" t="n">
        <v>1097</v>
      </c>
    </row>
    <row r="12">
      <c r="A12" s="3" t="inlineStr">
        <is>
          <t>Apr 2026</t>
        </is>
      </c>
      <c r="B12" s="3" t="n">
        <v>8321</v>
      </c>
      <c r="C12" s="3" t="n">
        <v>9200</v>
      </c>
      <c r="D12" s="3" t="n">
        <v>268</v>
      </c>
      <c r="E12" s="3" t="n">
        <v>198</v>
      </c>
      <c r="F12" s="4" t="n">
        <v>90.40000000000001</v>
      </c>
      <c r="G12" s="3" t="n">
        <v>2831</v>
      </c>
      <c r="H12" s="3" t="n">
        <v>2496</v>
      </c>
      <c r="I12" s="3" t="n">
        <v>1830</v>
      </c>
      <c r="J12" s="3" t="n">
        <v>1164</v>
      </c>
    </row>
    <row r="13">
      <c r="A13" s="3" t="inlineStr">
        <is>
          <t>May 2026</t>
        </is>
      </c>
      <c r="B13" s="3" t="n">
        <v>8869</v>
      </c>
      <c r="C13" s="3" t="n">
        <v>9200</v>
      </c>
      <c r="D13" s="3" t="n">
        <v>313</v>
      </c>
      <c r="E13" s="3" t="n">
        <v>396</v>
      </c>
      <c r="F13" s="4" t="n">
        <v>96.40000000000001</v>
      </c>
      <c r="G13" s="3" t="n">
        <v>3017</v>
      </c>
      <c r="H13" s="3" t="n">
        <v>2660</v>
      </c>
      <c r="I13" s="3" t="n">
        <v>1951</v>
      </c>
      <c r="J13" s="3" t="n">
        <v>1241</v>
      </c>
    </row>
    <row r="14">
      <c r="A14" s="3" t="inlineStr">
        <is>
          <t>Jun 2026</t>
        </is>
      </c>
      <c r="B14" s="3" t="n">
        <v>8228</v>
      </c>
      <c r="C14" s="3" t="n">
        <v>9200</v>
      </c>
      <c r="D14" s="3" t="n">
        <v>316</v>
      </c>
      <c r="E14" s="3" t="n">
        <v>426</v>
      </c>
      <c r="F14" s="6" t="n">
        <v>89.40000000000001</v>
      </c>
      <c r="G14" s="3" t="n">
        <v>2799</v>
      </c>
      <c r="H14" s="3" t="n">
        <v>2468</v>
      </c>
      <c r="I14" s="3" t="n">
        <v>1810</v>
      </c>
      <c r="J14" s="3" t="n">
        <v>1151</v>
      </c>
    </row>
    <row r="15">
      <c r="A15" s="3" t="inlineStr">
        <is>
          <t>Jul 2026</t>
        </is>
      </c>
      <c r="B15" s="3" t="n">
        <v>9073</v>
      </c>
      <c r="C15" s="3" t="n">
        <v>9200</v>
      </c>
      <c r="D15" s="3" t="n">
        <v>270</v>
      </c>
      <c r="E15" s="3" t="n">
        <v>177</v>
      </c>
      <c r="F15" s="4" t="n">
        <v>98.59999999999999</v>
      </c>
      <c r="G15" s="3" t="n">
        <v>3086</v>
      </c>
      <c r="H15" s="3" t="n">
        <v>2721</v>
      </c>
      <c r="I15" s="3" t="n">
        <v>1996</v>
      </c>
      <c r="J15" s="3" t="n">
        <v>1270</v>
      </c>
    </row>
    <row r="16">
      <c r="A16" s="7" t="inlineStr">
        <is>
          <t>TOTAL</t>
        </is>
      </c>
      <c r="B16" s="8">
        <f>SUM(B4:B15)</f>
        <v/>
      </c>
      <c r="C16" s="8">
        <f>SUM(C4:C15)</f>
        <v/>
      </c>
      <c r="D16" s="8">
        <f>SUM(D4:D15)</f>
        <v/>
      </c>
      <c r="E16" s="8">
        <f>SUM(E4:E15)</f>
        <v/>
      </c>
      <c r="F16" s="9">
        <f>AVERAGE(F4:F15)</f>
        <v/>
      </c>
      <c r="G16" s="8">
        <f>SUM(G4:G15)</f>
        <v/>
      </c>
      <c r="H16" s="8">
        <f>SUM(H4:H15)</f>
        <v/>
      </c>
      <c r="I16" s="8">
        <f>SUM(I4:I15)</f>
        <v/>
      </c>
      <c r="J16" s="8">
        <f>SUM(J4:J15)</f>
        <v/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2026-07-10T05:41:12Z</dcterms:created>
  <dcterms:modified xsi:type="dcterms:W3CDTF">2026-07-10T05:41:12Z</dcterms:modified>
</cp:coreProperties>
</file>